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清单" sheetId="1" state="visible" r:id="rId1"/>
    <sheet xmlns:r="http://schemas.openxmlformats.org/officeDocument/2006/relationships" name="报价汇总" sheetId="2" state="visible" r:id="rId2"/>
  </sheets>
  <definedNames>
    <definedName name="_xlnm._FilterDatabase" localSheetId="0" hidden="1">'材料清单'!$A$1:$F$6</definedName>
    <definedName name="_xlnm._FilterDatabase" localSheetId="1" hidden="1">'报价汇总'!$A$1:$B$7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各项目小计对比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'材料清单'!F1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'材料清单'!$A$2:$A$6</f>
            </numRef>
          </cat>
          <val>
            <numRef>
              <f>'材料清单'!$F$2:$F$6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1" displayName="Table1" ref="A1:F6" headerRowCount="1">
  <autoFilter ref="A1:F6"/>
  <tableColumns count="6">
    <tableColumn id="1" name="项目"/>
    <tableColumn id="2" name="单位"/>
    <tableColumn id="3" name="数量"/>
    <tableColumn id="4" name="单价"/>
    <tableColumn id="5" name="人工费"/>
    <tableColumn id="6" name="小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7" headerRowCount="1">
  <autoFilter ref="A1:B7"/>
  <tableColumns count="2">
    <tableColumn id="1" name="费用项"/>
    <tableColumn id="2" name="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项目</t>
        </is>
      </c>
      <c r="B1" s="1" t="inlineStr">
        <is>
          <t>单位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人工费</t>
        </is>
      </c>
      <c r="F1" s="1" t="inlineStr">
        <is>
          <t>小计</t>
        </is>
      </c>
    </row>
    <row r="2">
      <c r="A2" s="2" t="inlineStr">
        <is>
          <t>墙面乳胶漆</t>
        </is>
      </c>
      <c r="B2" s="2" t="inlineStr">
        <is>
          <t>㎡</t>
        </is>
      </c>
      <c r="C2" s="2" t="n">
        <v>120</v>
      </c>
      <c r="D2" s="2" t="n">
        <v>38</v>
      </c>
      <c r="E2" s="2" t="n">
        <v>1200</v>
      </c>
      <c r="F2" s="2">
        <f>C2*D2+E2</f>
        <v/>
      </c>
    </row>
    <row r="3">
      <c r="A3" s="2" t="inlineStr">
        <is>
          <t>地砖铺贴</t>
        </is>
      </c>
      <c r="B3" s="2" t="inlineStr">
        <is>
          <t>㎡</t>
        </is>
      </c>
      <c r="C3" s="2" t="n">
        <v>80</v>
      </c>
      <c r="D3" s="2" t="n">
        <v>95</v>
      </c>
      <c r="E3" s="2" t="n">
        <v>2800</v>
      </c>
      <c r="F3" s="2">
        <f>C3*D3+E3</f>
        <v/>
      </c>
    </row>
    <row r="4">
      <c r="A4" s="2" t="inlineStr">
        <is>
          <t>橱柜定制</t>
        </is>
      </c>
      <c r="B4" s="2" t="inlineStr">
        <is>
          <t>延米</t>
        </is>
      </c>
      <c r="C4" s="2" t="n">
        <v>5</v>
      </c>
      <c r="D4" s="2" t="n">
        <v>1200</v>
      </c>
      <c r="E4" s="2" t="n">
        <v>1500</v>
      </c>
      <c r="F4" s="2">
        <f>C4*D4+E4</f>
        <v/>
      </c>
    </row>
    <row r="5">
      <c r="A5" s="2" t="inlineStr">
        <is>
          <t>洁具安装</t>
        </is>
      </c>
      <c r="B5" s="2" t="inlineStr">
        <is>
          <t>套</t>
        </is>
      </c>
      <c r="C5" s="2" t="n">
        <v>2</v>
      </c>
      <c r="D5" s="2" t="n">
        <v>1800</v>
      </c>
      <c r="E5" s="2" t="n">
        <v>600</v>
      </c>
      <c r="F5" s="2">
        <f>C5*D5+E5</f>
        <v/>
      </c>
    </row>
    <row r="6">
      <c r="A6" s="2" t="inlineStr">
        <is>
          <t>灯具安装</t>
        </is>
      </c>
      <c r="B6" s="2" t="inlineStr">
        <is>
          <t>项</t>
        </is>
      </c>
      <c r="C6" s="2" t="n">
        <v>1</v>
      </c>
      <c r="D6" s="2" t="n">
        <v>2400</v>
      </c>
      <c r="E6" s="2" t="n">
        <v>900</v>
      </c>
      <c r="F6" s="2">
        <f>C6*D6+E6</f>
        <v/>
      </c>
    </row>
  </sheetData>
  <autoFilter ref="A1:F6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费用项</t>
        </is>
      </c>
      <c r="B1" s="1" t="inlineStr">
        <is>
          <t>金额</t>
        </is>
      </c>
    </row>
    <row r="2">
      <c r="A2" s="2" t="inlineStr">
        <is>
          <t>直接工程费</t>
        </is>
      </c>
      <c r="B2" s="2">
        <f>SUM('材料清单'!F2:F6)</f>
        <v/>
      </c>
    </row>
    <row r="3">
      <c r="A3" s="2" t="inlineStr">
        <is>
          <t>设计管理费率</t>
        </is>
      </c>
      <c r="B3" s="2" t="n">
        <v>0.08</v>
      </c>
    </row>
    <row r="4">
      <c r="A4" s="2" t="inlineStr">
        <is>
          <t>设计管理费</t>
        </is>
      </c>
      <c r="B4" s="2">
        <f>B2*B3</f>
        <v/>
      </c>
    </row>
    <row r="5">
      <c r="A5" s="2" t="inlineStr">
        <is>
          <t>税率</t>
        </is>
      </c>
      <c r="B5" s="2" t="n">
        <v>0.09</v>
      </c>
    </row>
    <row r="6">
      <c r="A6" s="2" t="inlineStr">
        <is>
          <t>税费</t>
        </is>
      </c>
      <c r="B6" s="2">
        <f>(B2+B4)*B5</f>
        <v/>
      </c>
    </row>
    <row r="7">
      <c r="A7" s="2" t="inlineStr">
        <is>
          <t>总报价</t>
        </is>
      </c>
      <c r="B7" s="2">
        <f>B2+B4+B6</f>
        <v/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2026-06-26T02:50:15Z</dcterms:created>
  <dcterms:modified xmlns:dcterms="http://purl.org/dc/terms/" xmlns:xsi="http://www.w3.org/2001/XMLSchema-instance" xsi:type="dcterms:W3CDTF">2026-06-26T02:50:15Z</dcterms:modified>
</cp:coreProperties>
</file>